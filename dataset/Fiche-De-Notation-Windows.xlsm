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OneDrive\Desktop\malware\dataset\"/>
    </mc:Choice>
  </mc:AlternateContent>
  <xr:revisionPtr revIDLastSave="0" documentId="13_ncr:1_{6C12DA56-0C2E-47C0-97F5-2DE6B53BBDAC}" xr6:coauthVersionLast="47" xr6:coauthVersionMax="47" xr10:uidLastSave="{00000000-0000-0000-0000-000000000000}"/>
  <bookViews>
    <workbookView xWindow="1080" yWindow="1080" windowWidth="17280" windowHeight="8880" xr2:uid="{00000000-000D-0000-FFFF-FFFF00000000}"/>
  </bookViews>
  <sheets>
    <sheet name="Feuil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5" i="2" l="1"/>
  <c r="B31" i="2"/>
  <c r="I10" i="2"/>
  <c r="I11" i="2" l="1"/>
  <c r="I12" i="2" s="1"/>
</calcChain>
</file>

<file path=xl/sharedStrings.xml><?xml version="1.0" encoding="utf-8"?>
<sst xmlns="http://schemas.openxmlformats.org/spreadsheetml/2006/main" count="87" uniqueCount="68">
  <si>
    <t>Notation CV</t>
  </si>
  <si>
    <t>/2</t>
  </si>
  <si>
    <t>Questions</t>
  </si>
  <si>
    <t>Pts</t>
  </si>
  <si>
    <t>/pts</t>
  </si>
  <si>
    <t>Poste</t>
  </si>
  <si>
    <t>Photo</t>
  </si>
  <si>
    <t>Comprend : Partie formation</t>
  </si>
  <si>
    <r>
      <t xml:space="preserve">1- </t>
    </r>
    <r>
      <rPr>
        <b/>
        <sz val="11"/>
        <color rgb="FF000000"/>
        <rFont val="Calibri"/>
        <family val="2"/>
        <scheme val="minor"/>
      </rPr>
      <t>Pour quel poste avez-vous postulé ?</t>
    </r>
  </si>
  <si>
    <t>/10</t>
  </si>
  <si>
    <t>Tests</t>
  </si>
  <si>
    <t>Points</t>
  </si>
  <si>
    <t>/total</t>
  </si>
  <si>
    <t>Partie expériences</t>
  </si>
  <si>
    <t xml:space="preserve">20- Test de langue </t>
  </si>
  <si>
    <t>/90</t>
  </si>
  <si>
    <t>Partie compétences techniques</t>
  </si>
  <si>
    <r>
      <t>2- Quelles sont les missions qui vous intéressent le plus ?</t>
    </r>
    <r>
      <rPr>
        <b/>
        <i/>
        <sz val="11"/>
        <color rgb="FF000000"/>
        <rFont val="Calibri"/>
        <family val="2"/>
        <scheme val="minor"/>
      </rPr>
      <t xml:space="preserve"> </t>
    </r>
  </si>
  <si>
    <t>Partie compétences linguistiques</t>
  </si>
  <si>
    <t xml:space="preserve">Test de compétences </t>
  </si>
  <si>
    <t>/100</t>
  </si>
  <si>
    <t>Titre du poste visé</t>
  </si>
  <si>
    <t>3- Type d'études réalisées ?</t>
  </si>
  <si>
    <t>Contact: mail tel adresse</t>
  </si>
  <si>
    <t>TOTAL</t>
  </si>
  <si>
    <t>Liens vers réseaux sociaux</t>
  </si>
  <si>
    <r>
      <t>4-</t>
    </r>
    <r>
      <rPr>
        <sz val="11"/>
        <color rgb="FF000000"/>
        <rFont val="Calibri"/>
        <family val="2"/>
        <scheme val="minor"/>
      </rPr>
      <t xml:space="preserve"> </t>
    </r>
    <r>
      <rPr>
        <b/>
        <sz val="11"/>
        <color rgb="FF000000"/>
        <rFont val="Calibri"/>
        <family val="2"/>
        <scheme val="minor"/>
      </rPr>
      <t xml:space="preserve">Parallèle entre chaque année de formation et expérience pro?
</t>
    </r>
    <r>
      <rPr>
        <sz val="11"/>
        <color rgb="FF000000"/>
        <rFont val="Calibri"/>
        <family val="2"/>
        <scheme val="minor"/>
      </rPr>
      <t xml:space="preserve"> </t>
    </r>
    <r>
      <rPr>
        <b/>
        <sz val="11"/>
        <color rgb="FF000000"/>
        <rFont val="Calibri"/>
        <family val="2"/>
        <scheme val="minor"/>
      </rPr>
      <t>Correspondance entre le cv et l’expérience décrite</t>
    </r>
    <r>
      <rPr>
        <sz val="11"/>
        <color rgb="FF000000"/>
        <rFont val="Calibri"/>
        <family val="2"/>
        <scheme val="minor"/>
      </rPr>
      <t xml:space="preserve"> :</t>
    </r>
  </si>
  <si>
    <t>/20</t>
  </si>
  <si>
    <t>Total des TOTAUX</t>
  </si>
  <si>
    <t xml:space="preserve">Loisirs </t>
  </si>
  <si>
    <t>Sports</t>
  </si>
  <si>
    <r>
      <t xml:space="preserve">5- Élocution </t>
    </r>
    <r>
      <rPr>
        <sz val="11"/>
        <color rgb="FF000000"/>
        <rFont val="Calibri"/>
        <family val="2"/>
        <scheme val="minor"/>
      </rPr>
      <t>:</t>
    </r>
  </si>
  <si>
    <t>Espace bien utilisé</t>
  </si>
  <si>
    <r>
      <t>6- Esprit de synthèse :</t>
    </r>
    <r>
      <rPr>
        <sz val="11"/>
        <color rgb="FF000000"/>
        <rFont val="Calibri"/>
        <family val="2"/>
        <scheme val="minor"/>
      </rPr>
      <t xml:space="preserve"> </t>
    </r>
  </si>
  <si>
    <t>Texte bien aligné</t>
  </si>
  <si>
    <t xml:space="preserve">Charte graphique unifiée </t>
  </si>
  <si>
    <t>7- Réalisations avec école ou personnelles</t>
  </si>
  <si>
    <t xml:space="preserve">Marge et taille de police adéquate </t>
  </si>
  <si>
    <t>Mise en valeurs des titres importants</t>
  </si>
  <si>
    <t xml:space="preserve">
8- Réalisation dans le cadre d’une entreprise ? </t>
  </si>
  <si>
    <t>CV taille adaptée</t>
  </si>
  <si>
    <t>9- Niveau de responsabilités assumées :</t>
  </si>
  <si>
    <t>CV suffisament détaillé</t>
  </si>
  <si>
    <t>Orthographe</t>
  </si>
  <si>
    <t>10- Diversité et étendue de l’expérience: W et études à l'étranger</t>
  </si>
  <si>
    <t>Fautes de frappes</t>
  </si>
  <si>
    <t>Synthaxe correcte</t>
  </si>
  <si>
    <r>
      <t>11- Tester les soft skills :</t>
    </r>
    <r>
      <rPr>
        <sz val="11"/>
        <color rgb="FF000000"/>
        <rFont val="Calibri"/>
        <family val="2"/>
        <scheme val="minor"/>
      </rPr>
      <t xml:space="preserve"> </t>
    </r>
  </si>
  <si>
    <t>/5</t>
  </si>
  <si>
    <t>12- Que connaissez-vous sur notre entreprise?</t>
  </si>
  <si>
    <t>Idée facile du candidat via CV</t>
  </si>
  <si>
    <t>Compréhension du CV intuitive</t>
  </si>
  <si>
    <t>13- Pourquoi voulez-vous obtenir le poste ?</t>
  </si>
  <si>
    <t>TOTAL     /50</t>
  </si>
  <si>
    <t>14- Comment vos collègues et collaborateurs vous décriraient-ils ?</t>
  </si>
  <si>
    <t xml:space="preserve">15- Décrivez-nous votre supérieur idéal. </t>
  </si>
  <si>
    <t>16- Quels sont pour vous les indicateurs de performance 
qui s’applique à votre poste :</t>
  </si>
  <si>
    <t xml:space="preserve">
17- Quelles sont les principales forces qui vous seront bénéfiques ?</t>
  </si>
  <si>
    <r>
      <t>18- Comment</t>
    </r>
    <r>
      <rPr>
        <b/>
        <sz val="11"/>
        <color rgb="FF000000"/>
        <rFont val="Helvetica"/>
        <family val="2"/>
      </rPr>
      <t xml:space="preserve"> </t>
    </r>
    <r>
      <rPr>
        <b/>
        <sz val="11"/>
        <color rgb="FF000000"/>
        <rFont val="Calibri"/>
        <family val="2"/>
        <scheme val="minor"/>
      </rPr>
      <t>réagissez-vous</t>
    </r>
    <r>
      <rPr>
        <b/>
        <sz val="11"/>
        <color rgb="FF000000"/>
        <rFont val="Helvetica"/>
        <family val="2"/>
      </rPr>
      <t xml:space="preserve"> </t>
    </r>
    <r>
      <rPr>
        <b/>
        <sz val="11"/>
        <color rgb="FF000000"/>
        <rFont val="Calibri"/>
        <family val="2"/>
        <scheme val="minor"/>
      </rPr>
      <t>à</t>
    </r>
    <r>
      <rPr>
        <b/>
        <sz val="11"/>
        <color rgb="FF000000"/>
        <rFont val="Helvetica"/>
        <family val="2"/>
      </rPr>
      <t xml:space="preserve"> </t>
    </r>
    <r>
      <rPr>
        <b/>
        <sz val="11"/>
        <color rgb="FF000000"/>
        <rFont val="Calibri"/>
        <family val="2"/>
        <scheme val="minor"/>
      </rPr>
      <t>la</t>
    </r>
    <r>
      <rPr>
        <b/>
        <sz val="11"/>
        <color rgb="FF000000"/>
        <rFont val="Helvetica"/>
        <family val="2"/>
      </rPr>
      <t xml:space="preserve"> </t>
    </r>
    <r>
      <rPr>
        <b/>
        <sz val="11"/>
        <color rgb="FF000000"/>
        <rFont val="Calibri"/>
        <family val="2"/>
        <scheme val="minor"/>
      </rPr>
      <t>pression?</t>
    </r>
    <r>
      <rPr>
        <b/>
        <sz val="11"/>
        <color rgb="FF000000"/>
        <rFont val="Helvetica"/>
        <family val="2"/>
      </rPr>
      <t xml:space="preserve"> </t>
    </r>
  </si>
  <si>
    <t>19- Comment gériez-vous les consignes que si l’on vous donnait ?</t>
  </si>
  <si>
    <t>/15</t>
  </si>
  <si>
    <t>NOM  et Prénom</t>
  </si>
  <si>
    <t xml:space="preserve">Commentaires:  </t>
  </si>
  <si>
    <t xml:space="preserve">Points faibles:  </t>
  </si>
  <si>
    <t xml:space="preserve">Points Positifs:  </t>
  </si>
  <si>
    <t>20- Appréciation globale</t>
  </si>
  <si>
    <t>Cote Globale</t>
  </si>
  <si>
    <t>C:\Users\moham\OneDrive\Desktop\malware\dataset\Fiche-De-Notation-Windows.xlsm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</si>
</sst>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26292C"/>
      <name val="Source Sans Pro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0"/>
      <color rgb="FF000000"/>
      <name val="YACgEUaXOJg 0"/>
    </font>
    <font>
      <b/>
      <sz val="11"/>
      <color rgb="FF000000"/>
      <name val="Helvetica"/>
      <family val="2"/>
    </font>
    <font>
      <b/>
      <sz val="32"/>
      <color rgb="FF42423F"/>
      <name val="LibreBaskerville"/>
    </font>
    <font>
      <b/>
      <u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0" fillId="2" borderId="1" xfId="0" applyFont="1" applyFill="1" applyBorder="1"/>
    <xf numFmtId="0" fontId="0" fillId="0" borderId="1" xfId="0" applyFont="1" applyBorder="1"/>
    <xf numFmtId="0" fontId="1" fillId="0" borderId="1" xfId="0" applyFont="1" applyBorder="1"/>
    <xf numFmtId="0" fontId="0" fillId="3" borderId="0" xfId="0" applyFill="1"/>
    <xf numFmtId="0" fontId="1" fillId="2" borderId="1" xfId="0" applyFont="1" applyFill="1" applyBorder="1"/>
    <xf numFmtId="0" fontId="9" fillId="0" borderId="0" xfId="0" applyFont="1" applyAlignment="1">
      <alignment horizontal="left" vertical="top"/>
    </xf>
  </cellXfs>
  <cellStyles count="1">
    <cellStyle name="Normal" xfId="0" builtinId="0"/>
  </cellStyles>
  <dxfs count="2">
    <dxf>
      <font>
        <b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39F61D-337C-47E6-93AA-C36430A8A469}" name="Tableau12" displayName="Tableau12" ref="A3:B31" totalsRowShown="0">
  <autoFilter ref="A3:B31" xr:uid="{7939F61D-337C-47E6-93AA-C36430A8A469}"/>
  <tableColumns count="2">
    <tableColumn id="1" xr3:uid="{44D44407-4A3C-40E5-88BE-1929C4C115E6}" name="Notation CV"/>
    <tableColumn id="2" xr3:uid="{DD3FA85D-A55F-43DC-9173-7BA96C72D40D}" name="/2" dataDxfId="1">
      <calculatedColumnFormula>SOMME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CC12-8B97-43A8-8DF9-36B5A977591B}" name="Tableau23" displayName="Tableau23" ref="D3:F43" totalsRowShown="0">
  <autoFilter ref="D3:F43" xr:uid="{B860CC12-8B97-43A8-8DF9-36B5A977591B}"/>
  <tableColumns count="3">
    <tableColumn id="1" xr3:uid="{9E305A3E-E171-4E3C-92E9-D4A329C98053}" name="Questions"/>
    <tableColumn id="2" xr3:uid="{E9A9C57E-6B36-4C22-AC40-17C33B8F6C49}" name="Pts"/>
    <tableColumn id="3" xr3:uid="{C38CD149-1A9D-4ADC-AEC5-A6781C53D213}" name="/pts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64308C-E285-4D3E-B20A-8C73975E05DE}" name="Tableau34" displayName="Tableau34" ref="H5:J12" totalsRowShown="0">
  <autoFilter ref="H5:J12" xr:uid="{9164308C-E285-4D3E-B20A-8C73975E05DE}"/>
  <tableColumns count="3">
    <tableColumn id="1" xr3:uid="{B0F63185-6D6B-4762-8731-7D3B034AA4C6}" name="Tests" dataDxfId="0"/>
    <tableColumn id="2" xr3:uid="{3E89807A-2C52-45ED-A1A4-CD80E10FCF3E}" name="Points"/>
    <tableColumn id="3" xr3:uid="{461CCB7C-3683-4F49-99F3-14D8D5EC20F7}" name="/total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A7A9F-B6B0-4F28-9BC7-B363BDBD5DA3}">
  <sheetPr codeName="Feuil1">
    <pageSetUpPr fitToPage="1"/>
  </sheetPr>
  <dimension ref="A1:ET150"/>
  <sheetViews>
    <sheetView tabSelected="1" topLeftCell="A16" zoomScale="78" zoomScaleNormal="100" workbookViewId="0">
      <selection activeCell="H26" sqref="H26"/>
    </sheetView>
  </sheetViews>
  <sheetFormatPr defaultColWidth="11.5546875" defaultRowHeight="14.4"/>
  <cols>
    <col min="1" max="1" width="51.5546875" customWidth="1"/>
    <col min="4" max="4" width="65" customWidth="1"/>
    <col min="8" max="8" width="29.6640625" customWidth="1"/>
    <col min="9" max="9" width="16.33203125" customWidth="1"/>
    <col min="10" max="10" width="12.44140625" customWidth="1"/>
  </cols>
  <sheetData>
    <row r="1" spans="1:10" ht="24.9" customHeight="1">
      <c r="B1" s="1"/>
      <c r="I1" s="1"/>
      <c r="J1" s="8"/>
    </row>
    <row r="2" spans="1:10" ht="24.9" customHeight="1">
      <c r="B2" s="1"/>
      <c r="H2" s="1" t="s">
        <v>61</v>
      </c>
    </row>
    <row r="3" spans="1:10" ht="24.9" customHeight="1">
      <c r="A3" t="s">
        <v>0</v>
      </c>
      <c r="B3" t="s">
        <v>1</v>
      </c>
      <c r="D3" t="s">
        <v>2</v>
      </c>
      <c r="E3" t="s">
        <v>3</v>
      </c>
      <c r="F3" t="s">
        <v>4</v>
      </c>
      <c r="H3" t="s">
        <v>5</v>
      </c>
      <c r="I3" s="1"/>
      <c r="J3" s="2"/>
    </row>
    <row r="4" spans="1:10" ht="24.9" customHeight="1">
      <c r="A4" s="1" t="s">
        <v>6</v>
      </c>
    </row>
    <row r="5" spans="1:10" ht="24.9" customHeight="1">
      <c r="A5" s="1" t="s">
        <v>7</v>
      </c>
      <c r="D5" s="3" t="s">
        <v>8</v>
      </c>
      <c r="F5" s="1" t="s">
        <v>9</v>
      </c>
      <c r="H5" t="s">
        <v>10</v>
      </c>
      <c r="I5" t="s">
        <v>11</v>
      </c>
      <c r="J5" t="s">
        <v>12</v>
      </c>
    </row>
    <row r="6" spans="1:10" ht="24.9" customHeight="1">
      <c r="A6" s="1" t="s">
        <v>13</v>
      </c>
      <c r="F6" s="1"/>
      <c r="H6" s="1" t="s">
        <v>14</v>
      </c>
      <c r="J6" t="s">
        <v>15</v>
      </c>
    </row>
    <row r="7" spans="1:10" ht="24.9" customHeight="1">
      <c r="A7" s="1" t="s">
        <v>16</v>
      </c>
      <c r="D7" s="4" t="s">
        <v>17</v>
      </c>
      <c r="F7" s="1" t="s">
        <v>9</v>
      </c>
      <c r="H7" s="1"/>
    </row>
    <row r="8" spans="1:10" ht="24.9" customHeight="1">
      <c r="A8" s="1" t="s">
        <v>18</v>
      </c>
      <c r="F8" s="1"/>
      <c r="H8" s="1" t="s">
        <v>19</v>
      </c>
      <c r="J8" t="s">
        <v>20</v>
      </c>
    </row>
    <row r="9" spans="1:10" ht="24.9" customHeight="1">
      <c r="A9" s="1" t="s">
        <v>21</v>
      </c>
      <c r="D9" s="4" t="s">
        <v>22</v>
      </c>
      <c r="F9" s="1" t="s">
        <v>9</v>
      </c>
      <c r="H9" s="1"/>
    </row>
    <row r="10" spans="1:10" ht="24.9" customHeight="1">
      <c r="A10" s="1" t="s">
        <v>23</v>
      </c>
      <c r="F10" s="1"/>
      <c r="H10" s="1" t="s">
        <v>24</v>
      </c>
      <c r="I10">
        <f>SUM(I8,I6)</f>
        <v>0</v>
      </c>
    </row>
    <row r="11" spans="1:10" ht="24.9" customHeight="1">
      <c r="A11" s="1" t="s">
        <v>25</v>
      </c>
      <c r="D11" s="5" t="s">
        <v>26</v>
      </c>
      <c r="F11" s="1" t="s">
        <v>27</v>
      </c>
      <c r="H11" s="1" t="s">
        <v>28</v>
      </c>
      <c r="I11">
        <f>SUM(I10,E45,B31)</f>
        <v>0</v>
      </c>
    </row>
    <row r="12" spans="1:10" ht="24.9" customHeight="1">
      <c r="A12" s="1" t="s">
        <v>29</v>
      </c>
      <c r="F12" s="1"/>
      <c r="H12" s="1" t="s">
        <v>66</v>
      </c>
      <c r="I12">
        <f>INT(I11/5)</f>
        <v>0</v>
      </c>
      <c r="J12" t="s">
        <v>20</v>
      </c>
    </row>
    <row r="13" spans="1:10" ht="24.9" customHeight="1">
      <c r="A13" s="1" t="s">
        <v>30</v>
      </c>
      <c r="D13" s="4" t="s">
        <v>31</v>
      </c>
      <c r="F13" s="1" t="s">
        <v>27</v>
      </c>
      <c r="H13" s="14" t="s">
        <v>62</v>
      </c>
      <c r="I13" s="14"/>
      <c r="J13" s="14"/>
    </row>
    <row r="14" spans="1:10" ht="24.9" customHeight="1">
      <c r="A14" s="1"/>
      <c r="F14" s="1"/>
      <c r="H14" s="14"/>
      <c r="I14" s="14"/>
      <c r="J14" s="14"/>
    </row>
    <row r="15" spans="1:10" ht="24.9" customHeight="1">
      <c r="A15" s="1" t="s">
        <v>32</v>
      </c>
      <c r="D15" s="4" t="s">
        <v>33</v>
      </c>
      <c r="F15" s="1" t="s">
        <v>9</v>
      </c>
      <c r="H15" s="14"/>
      <c r="I15" s="14"/>
      <c r="J15" s="14"/>
    </row>
    <row r="16" spans="1:10" ht="24.9" customHeight="1">
      <c r="A16" s="1" t="s">
        <v>34</v>
      </c>
      <c r="F16" s="1"/>
      <c r="H16" s="14"/>
      <c r="I16" s="14"/>
      <c r="J16" s="14"/>
    </row>
    <row r="17" spans="1:10" ht="24.9" customHeight="1">
      <c r="A17" s="1" t="s">
        <v>35</v>
      </c>
      <c r="D17" s="4" t="s">
        <v>36</v>
      </c>
      <c r="F17" s="1" t="s">
        <v>9</v>
      </c>
      <c r="H17" s="14" t="s">
        <v>64</v>
      </c>
      <c r="I17" s="14"/>
      <c r="J17" s="14"/>
    </row>
    <row r="18" spans="1:10" ht="24.9" customHeight="1">
      <c r="A18" s="1" t="s">
        <v>37</v>
      </c>
      <c r="F18" s="1"/>
      <c r="H18" s="14"/>
      <c r="I18" s="14"/>
      <c r="J18" s="14"/>
    </row>
    <row r="19" spans="1:10" ht="24.9" customHeight="1">
      <c r="A19" s="1" t="s">
        <v>38</v>
      </c>
      <c r="D19" s="6" t="s">
        <v>39</v>
      </c>
      <c r="F19" s="1" t="s">
        <v>27</v>
      </c>
      <c r="H19" s="14"/>
      <c r="I19" s="14"/>
      <c r="J19" s="14"/>
    </row>
    <row r="20" spans="1:10" ht="24.9" customHeight="1">
      <c r="A20" s="1"/>
      <c r="F20" s="1"/>
      <c r="H20" s="14" t="s">
        <v>63</v>
      </c>
      <c r="I20" s="14"/>
      <c r="J20" s="14"/>
    </row>
    <row r="21" spans="1:10" ht="24.9" customHeight="1">
      <c r="A21" s="1" t="s">
        <v>40</v>
      </c>
      <c r="D21" s="4" t="s">
        <v>41</v>
      </c>
      <c r="F21" s="1" t="s">
        <v>27</v>
      </c>
      <c r="H21" s="14"/>
      <c r="I21" s="14"/>
      <c r="J21" s="14"/>
    </row>
    <row r="22" spans="1:10" ht="24.9" customHeight="1">
      <c r="A22" s="1" t="s">
        <v>42</v>
      </c>
      <c r="F22" s="1"/>
    </row>
    <row r="23" spans="1:10" ht="24.9" customHeight="1">
      <c r="A23" s="1" t="s">
        <v>43</v>
      </c>
      <c r="D23" s="7" t="s">
        <v>44</v>
      </c>
      <c r="F23" s="1" t="s">
        <v>27</v>
      </c>
    </row>
    <row r="24" spans="1:10" ht="24.9" customHeight="1">
      <c r="A24" s="1" t="s">
        <v>45</v>
      </c>
      <c r="F24" s="1"/>
    </row>
    <row r="25" spans="1:10" ht="24.9" customHeight="1">
      <c r="A25" s="1" t="s">
        <v>46</v>
      </c>
      <c r="D25" s="4" t="s">
        <v>47</v>
      </c>
      <c r="F25" s="1" t="s">
        <v>27</v>
      </c>
    </row>
    <row r="26" spans="1:10" ht="24.9" customHeight="1">
      <c r="A26" s="1"/>
      <c r="F26" s="1"/>
    </row>
    <row r="27" spans="1:10" ht="24.9" customHeight="1">
      <c r="A27" s="1"/>
      <c r="B27" s="1" t="s">
        <v>48</v>
      </c>
      <c r="D27" s="4" t="s">
        <v>49</v>
      </c>
      <c r="F27" s="1" t="s">
        <v>9</v>
      </c>
    </row>
    <row r="28" spans="1:10" ht="24.9" customHeight="1">
      <c r="A28" s="1" t="s">
        <v>50</v>
      </c>
      <c r="F28" s="1"/>
    </row>
    <row r="29" spans="1:10" ht="24.9" customHeight="1">
      <c r="A29" s="1" t="s">
        <v>51</v>
      </c>
      <c r="D29" s="7" t="s">
        <v>52</v>
      </c>
      <c r="F29" s="1" t="s">
        <v>48</v>
      </c>
    </row>
    <row r="30" spans="1:10" ht="24.9" customHeight="1">
      <c r="F30" s="1"/>
    </row>
    <row r="31" spans="1:10" ht="24.9" customHeight="1">
      <c r="A31" s="1" t="s">
        <v>53</v>
      </c>
      <c r="B31">
        <f>SUM(B4:B25,B28,B29)</f>
        <v>0</v>
      </c>
      <c r="D31" s="4" t="s">
        <v>54</v>
      </c>
      <c r="F31" s="1" t="s">
        <v>48</v>
      </c>
    </row>
    <row r="32" spans="1:10" ht="24.9" customHeight="1">
      <c r="F32" s="1"/>
    </row>
    <row r="33" spans="4:35" ht="24.9" customHeight="1">
      <c r="D33" s="4" t="s">
        <v>55</v>
      </c>
      <c r="F33" s="1" t="s">
        <v>9</v>
      </c>
    </row>
    <row r="34" spans="4:35" ht="24.9" customHeight="1">
      <c r="F34" s="1"/>
    </row>
    <row r="35" spans="4:35" ht="24.9" customHeight="1">
      <c r="D35" s="5" t="s">
        <v>56</v>
      </c>
      <c r="F35" s="1" t="s">
        <v>48</v>
      </c>
      <c r="AI35" t="s">
        <v>67</v>
      </c>
    </row>
    <row r="36" spans="4:35" ht="24.9" customHeight="1">
      <c r="F36" s="1"/>
    </row>
    <row r="37" spans="4:35" ht="24.9" customHeight="1">
      <c r="D37" s="6" t="s">
        <v>57</v>
      </c>
      <c r="F37" s="1" t="s">
        <v>48</v>
      </c>
    </row>
    <row r="38" spans="4:35" ht="20.100000000000001" customHeight="1">
      <c r="F38" s="1"/>
    </row>
    <row r="39" spans="4:35" ht="20.100000000000001" customHeight="1">
      <c r="D39" s="4" t="s">
        <v>58</v>
      </c>
      <c r="F39" s="1" t="s">
        <v>27</v>
      </c>
    </row>
    <row r="40" spans="4:35" ht="20.100000000000001" customHeight="1">
      <c r="F40" s="1"/>
    </row>
    <row r="41" spans="4:35" ht="20.100000000000001" customHeight="1">
      <c r="D41" s="4" t="s">
        <v>59</v>
      </c>
      <c r="F41" s="1" t="s">
        <v>60</v>
      </c>
    </row>
    <row r="42" spans="4:35" ht="20.100000000000001" customHeight="1">
      <c r="D42" s="12"/>
    </row>
    <row r="43" spans="4:35" ht="20.100000000000001" customHeight="1">
      <c r="D43" s="1" t="s">
        <v>65</v>
      </c>
      <c r="F43" s="1" t="s">
        <v>60</v>
      </c>
    </row>
    <row r="44" spans="4:35" ht="20.100000000000001" customHeight="1">
      <c r="D44" s="9"/>
      <c r="E44" s="9"/>
      <c r="F44" s="13"/>
    </row>
    <row r="45" spans="4:35" ht="20.100000000000001" customHeight="1">
      <c r="D45" s="11" t="s">
        <v>24</v>
      </c>
      <c r="E45" s="10">
        <f>SUM(E5:E43)</f>
        <v>0</v>
      </c>
      <c r="F45" s="10"/>
    </row>
    <row r="150" spans="150:150">
      <c r="ET150">
        <v>0</v>
      </c>
    </row>
  </sheetData>
  <mergeCells count="3">
    <mergeCell ref="H13:J16"/>
    <mergeCell ref="H17:J19"/>
    <mergeCell ref="H20:J21"/>
  </mergeCells>
  <pageMargins left="0.7" right="0.7" top="0.75" bottom="0.75" header="0.3" footer="0.3"/>
  <pageSetup paperSize="9" scale="19"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70DC03271484479A939DC6F91277D0" ma:contentTypeVersion="0" ma:contentTypeDescription="Create a new document." ma:contentTypeScope="" ma:versionID="3bc1d036a1854ac6866b098399b1fba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11f6aef50be78f1310c03be84041a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E8BB5B-E905-45AC-AA9C-DD78CADA2B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C0666A6-69D2-4A38-B859-FA40170E8A5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3CD174-4C89-4EFA-8AFD-CEE800F91869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</dc:creator>
  <cp:lastModifiedBy>Mohamed Reda Arsalane</cp:lastModifiedBy>
  <cp:lastPrinted>2021-06-25T12:33:27Z</cp:lastPrinted>
  <dcterms:created xsi:type="dcterms:W3CDTF">2015-06-05T18:19:34Z</dcterms:created>
  <dcterms:modified xsi:type="dcterms:W3CDTF">2022-03-08T20:12:57Z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0x0101009F70DC03271484479A939DC6F91277D0</vt:lpwstr>
  </property>
</Properties>
</file>